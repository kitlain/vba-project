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steam\OneDrive\Рабочий стол\"/>
    </mc:Choice>
  </mc:AlternateContent>
  <xr:revisionPtr revIDLastSave="0" documentId="13_ncr:1_{04B5B47A-3699-4D7A-8EA3-25D29C5831C8}" xr6:coauthVersionLast="47" xr6:coauthVersionMax="47" xr10:uidLastSave="{00000000-0000-0000-0000-000000000000}"/>
  <bookViews>
    <workbookView xWindow="-120" yWindow="-120" windowWidth="25440" windowHeight="15390" xr2:uid="{267F56BD-B107-4B1E-A0F3-C892B4E9C40B}"/>
  </bookViews>
  <sheets>
    <sheet name="Users" sheetId="1" r:id="rId1"/>
    <sheet name="Sales" sheetId="2" r:id="rId2"/>
    <sheet name="Feedback" sheetId="3" r:id="rId3"/>
    <sheet name="Sales_by_Region" sheetId="4" r:id="rId4"/>
    <sheet name="Market Share" sheetId="5" r:id="rId5"/>
  </sheets>
  <definedNames>
    <definedName name="_xlnm._FilterDatabase" localSheetId="1" hidden="1">Sales!$A$1:$E$12</definedName>
    <definedName name="_xlnm._FilterDatabase" localSheetId="3" hidden="1">Sales_by_Region!$A$1:$E$22</definedName>
    <definedName name="solver_eng" localSheetId="1" hidden="1">1</definedName>
    <definedName name="solver_neg" localSheetId="1" hidden="1">1</definedName>
    <definedName name="solver_num" localSheetId="1" hidden="1">0</definedName>
    <definedName name="solver_opt" localSheetId="1" hidden="1">Sales!$A$1</definedName>
    <definedName name="solver_typ" localSheetId="1" hidden="1">1</definedName>
    <definedName name="solver_val" localSheetId="1" hidden="1">0</definedName>
    <definedName name="solver_ver" localSheetId="1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6" i="1" l="1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E3" i="4"/>
  <c r="E2" i="4"/>
  <c r="F5" i="1"/>
  <c r="F4" i="1"/>
  <c r="F3" i="1"/>
  <c r="F2" i="1"/>
</calcChain>
</file>

<file path=xl/sharedStrings.xml><?xml version="1.0" encoding="utf-8"?>
<sst xmlns="http://schemas.openxmlformats.org/spreadsheetml/2006/main" count="165" uniqueCount="70">
  <si>
    <t>Пароль</t>
  </si>
  <si>
    <t>Роль пользователя</t>
  </si>
  <si>
    <t>Дата создания учетной записи</t>
  </si>
  <si>
    <t>Дата последней авторизации пользователя</t>
  </si>
  <si>
    <t>Фамилия</t>
  </si>
  <si>
    <t>Имя</t>
  </si>
  <si>
    <t>Отчество</t>
  </si>
  <si>
    <t>Администратор</t>
  </si>
  <si>
    <t>admin</t>
  </si>
  <si>
    <t>password</t>
  </si>
  <si>
    <t>Admin</t>
  </si>
  <si>
    <t>apo0296</t>
  </si>
  <si>
    <t>l93psylx</t>
  </si>
  <si>
    <t>Ильиных</t>
  </si>
  <si>
    <t>Юрий</t>
  </si>
  <si>
    <t>Александрович</t>
  </si>
  <si>
    <t>Сактаганов</t>
  </si>
  <si>
    <t>Эрик</t>
  </si>
  <si>
    <t>apo0297</t>
  </si>
  <si>
    <t>testadmin</t>
  </si>
  <si>
    <t>Кассир</t>
  </si>
  <si>
    <t>Логин</t>
  </si>
  <si>
    <t>Монитор</t>
  </si>
  <si>
    <t>Клавиатура</t>
  </si>
  <si>
    <t>Мышь</t>
  </si>
  <si>
    <t>Производитель</t>
  </si>
  <si>
    <t>Наименование</t>
  </si>
  <si>
    <t>Дата</t>
  </si>
  <si>
    <t>Кол-во продаж</t>
  </si>
  <si>
    <t>Жесткий диск</t>
  </si>
  <si>
    <t>SSD</t>
  </si>
  <si>
    <t>Видеокарта</t>
  </si>
  <si>
    <t>Положительные отзывы</t>
  </si>
  <si>
    <t>Отрицательные отзывы</t>
  </si>
  <si>
    <t>Dell, HP, Asus, LG, Samsung</t>
  </si>
  <si>
    <t>Logitech, Microsoft, HP, Dell, Lenovo</t>
  </si>
  <si>
    <t>Регион</t>
  </si>
  <si>
    <t>Доход</t>
  </si>
  <si>
    <t>Север</t>
  </si>
  <si>
    <t>Юг</t>
  </si>
  <si>
    <t>Доля рынка (%)</t>
  </si>
  <si>
    <t>Компании производители</t>
  </si>
  <si>
    <t>SteelSeries, Logitech, Razer, Corsair, HyperX</t>
  </si>
  <si>
    <t>Western Digital, Seagate, Toshiba</t>
  </si>
  <si>
    <t>Samsung, Kingston, Sandisk, Intel</t>
  </si>
  <si>
    <t>Nvidia, AMD, Asus, Gigabyte, MSI</t>
  </si>
  <si>
    <t>ID</t>
  </si>
  <si>
    <t>Монитор Dell UltraSharp U2719D</t>
  </si>
  <si>
    <t>Dell</t>
  </si>
  <si>
    <t>Клавиатура Logitech G915 TKL</t>
  </si>
  <si>
    <t>Logitech</t>
  </si>
  <si>
    <t>Мышь Logitech G Pro Wireless</t>
  </si>
  <si>
    <t>Мышь SteelSeries Rival 600</t>
  </si>
  <si>
    <t>SteelSeries</t>
  </si>
  <si>
    <t>Видеокарта AMD Radeon RX 6800 XT</t>
  </si>
  <si>
    <t>AMD</t>
  </si>
  <si>
    <t>Жесткий диск Toshiba X300 8TB</t>
  </si>
  <si>
    <t>Toshiba</t>
  </si>
  <si>
    <t>Samsung</t>
  </si>
  <si>
    <t>SSD Samsung 970 EVO Plus 1TB NVMe</t>
  </si>
  <si>
    <t>Жесткий диск Samsung Spinpoint F3 1TB</t>
  </si>
  <si>
    <t>Блок питания Corsair RM750x 750W 80+ Gold</t>
  </si>
  <si>
    <t>Corsair</t>
  </si>
  <si>
    <t>Цена (за единицу)</t>
  </si>
  <si>
    <t>Запад</t>
  </si>
  <si>
    <t>Восток</t>
  </si>
  <si>
    <t>musin</t>
  </si>
  <si>
    <t>qwerty</t>
  </si>
  <si>
    <t>Мусин</t>
  </si>
  <si>
    <t>Уалихан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</si>
</sst>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₽&quot;* #,##0.00_);_(&quot;₽&quot;* \(#,##0.00\);_(&quot;₽&quot;* &quot;-&quot;??_);_(@_)"/>
    <numFmt numFmtId="165" formatCode="dd/mm/yy\ h:mm;@"/>
    <numFmt numFmtId="166" formatCode="_-* #,##0.00\ [$KZT]_-;\-* #,##0.00\ [$KZT]_-;_-* &quot;-&quot;??\ [$KZT]_-;_-@_-"/>
  </numFmts>
  <fonts count="5" x14ac:knownFonts="1"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44">
    <xf numFmtId="0" fontId="0" fillId="0" borderId="0" xfId="0"/>
    <xf numFmtId="0" fontId="0" fillId="0" borderId="1" xfId="0" applyBorder="1"/>
    <xf numFmtId="165" fontId="0" fillId="0" borderId="1" xfId="0" applyNumberFormat="1" applyBorder="1"/>
    <xf numFmtId="165" fontId="0" fillId="0" borderId="1" xfId="0" applyNumberFormat="1" applyFont="1" applyBorder="1"/>
    <xf numFmtId="0" fontId="0" fillId="0" borderId="2" xfId="0" applyBorder="1"/>
    <xf numFmtId="0" fontId="1" fillId="2" borderId="3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165" fontId="1" fillId="2" borderId="4" xfId="0" applyNumberFormat="1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0" fillId="0" borderId="2" xfId="0" applyBorder="1" applyProtection="1"/>
    <xf numFmtId="165" fontId="0" fillId="0" borderId="2" xfId="0" applyNumberFormat="1" applyFont="1" applyBorder="1"/>
    <xf numFmtId="165" fontId="0" fillId="0" borderId="2" xfId="0" applyNumberFormat="1" applyBorder="1"/>
    <xf numFmtId="0" fontId="3" fillId="0" borderId="1" xfId="0" applyFont="1" applyFill="1" applyBorder="1"/>
    <xf numFmtId="0" fontId="3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/>
    <xf numFmtId="0" fontId="1" fillId="2" borderId="6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  <xf numFmtId="9" fontId="0" fillId="0" borderId="2" xfId="0" applyNumberForma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0" fillId="0" borderId="9" xfId="0" applyBorder="1"/>
    <xf numFmtId="0" fontId="1" fillId="2" borderId="8" xfId="0" applyFont="1" applyFill="1" applyBorder="1" applyAlignment="1">
      <alignment horizontal="center" vertical="center"/>
    </xf>
    <xf numFmtId="166" fontId="0" fillId="0" borderId="2" xfId="0" applyNumberFormat="1" applyBorder="1"/>
    <xf numFmtId="166" fontId="0" fillId="0" borderId="1" xfId="0" applyNumberFormat="1" applyBorder="1"/>
    <xf numFmtId="166" fontId="0" fillId="0" borderId="1" xfId="1" applyNumberFormat="1" applyFont="1" applyBorder="1"/>
    <xf numFmtId="0" fontId="1" fillId="2" borderId="1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 vertical="center" wrapText="1"/>
    </xf>
    <xf numFmtId="0" fontId="1" fillId="2" borderId="13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14" fontId="0" fillId="0" borderId="2" xfId="0" applyNumberFormat="1" applyFill="1" applyBorder="1"/>
    <xf numFmtId="0" fontId="0" fillId="0" borderId="2" xfId="0" applyFill="1" applyBorder="1"/>
    <xf numFmtId="166" fontId="0" fillId="0" borderId="2" xfId="1" applyNumberFormat="1" applyFont="1" applyFill="1" applyBorder="1"/>
    <xf numFmtId="14" fontId="0" fillId="0" borderId="1" xfId="0" applyNumberFormat="1" applyFill="1" applyBorder="1"/>
    <xf numFmtId="0" fontId="0" fillId="0" borderId="1" xfId="0" applyFill="1" applyBorder="1"/>
    <xf numFmtId="166" fontId="0" fillId="0" borderId="1" xfId="1" applyNumberFormat="1" applyFont="1" applyFill="1" applyBorder="1"/>
    <xf numFmtId="14" fontId="0" fillId="0" borderId="15" xfId="0" applyNumberFormat="1" applyFill="1" applyBorder="1"/>
    <xf numFmtId="0" fontId="0" fillId="0" borderId="15" xfId="0" applyFill="1" applyBorder="1"/>
    <xf numFmtId="166" fontId="0" fillId="0" borderId="15" xfId="1" applyNumberFormat="1" applyFont="1" applyFill="1" applyBorder="1"/>
  </cellXfs>
  <cellStyles count="2">
    <cellStyle name="Денежный" xfId="1" builtinId="4"/>
    <cellStyle name="Обычный" xfId="0" builtinId="0"/>
  </cellStyles>
  <dxfs count="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166" formatCode="_-* #,##0.00\ [$KZT]_-;\-* #,##0.00\ [$KZT]_-;_-* &quot;-&quot;??\ [$KZT]_-;_-@_-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fill>
        <patternFill patternType="solid">
          <fgColor indexed="64"/>
          <bgColor theme="0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D4B46FC-B145-47D0-9D1C-52DE9D53281B}" name="SalesTable" displayName="SalesTable" ref="A1:E12" totalsRowShown="0" headerRowDxfId="8" dataDxfId="6" headerRowBorderDxfId="7" tableBorderDxfId="5">
  <tableColumns count="5">
    <tableColumn id="1" xr3:uid="{1E830E93-67CF-4469-8A83-0DB95F4AC6BC}" name="Дата" dataDxfId="4"/>
    <tableColumn id="2" xr3:uid="{D89D904C-814F-4781-BBB7-9D6B6196F9C9}" name="Наименование" dataDxfId="3"/>
    <tableColumn id="3" xr3:uid="{32F33CA6-2DA3-47E3-83CD-6F233AAEF696}" name="Производитель" dataDxfId="2"/>
    <tableColumn id="4" xr3:uid="{EE22EB93-3FFC-43C7-A94C-FCEDFCA51231}" name="Кол-во продаж" dataDxfId="1"/>
    <tableColumn id="5" xr3:uid="{F688FB6A-8405-42E0-AE58-F341B785D9A7}" name="Цена (за единицу)" dataDxfId="0" dataCellStyle="Денежный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66D5A-8863-414B-BC88-BACFEBB27674}">
  <sheetPr codeName="Лист1"/>
  <dimension ref="A1:I8"/>
  <sheetViews>
    <sheetView tabSelected="1" workbookViewId="0">
      <pane ySplit="1" topLeftCell="A2" activePane="bottomLeft" state="frozen"/>
      <selection pane="bottomLeft" activeCell="J8" sqref="J8"/>
    </sheetView>
  </sheetViews>
  <sheetFormatPr defaultRowHeight="15" x14ac:dyDescent="0.25"/>
  <cols>
    <col min="1" max="1" width="2.85546875" style="1" bestFit="1" customWidth="1"/>
    <col min="2" max="2" width="18.140625" style="1" bestFit="1" customWidth="1"/>
    <col min="3" max="3" width="9.7109375" style="1" bestFit="1" customWidth="1"/>
    <col min="4" max="4" width="18.7109375" style="1" bestFit="1" customWidth="1"/>
    <col min="5" max="5" width="16.85546875" style="2" customWidth="1"/>
    <col min="6" max="6" width="20.7109375" style="2" customWidth="1"/>
    <col min="7" max="7" width="16" style="1" customWidth="1"/>
    <col min="8" max="8" width="17.140625" style="1" customWidth="1"/>
    <col min="9" max="9" width="20" style="1" customWidth="1"/>
  </cols>
  <sheetData>
    <row r="1" spans="1:9" ht="45.75" thickBot="1" x14ac:dyDescent="0.3">
      <c r="A1" s="5" t="s">
        <v>46</v>
      </c>
      <c r="B1" s="6" t="s">
        <v>21</v>
      </c>
      <c r="C1" s="6" t="s">
        <v>0</v>
      </c>
      <c r="D1" s="6" t="s">
        <v>1</v>
      </c>
      <c r="E1" s="7" t="s">
        <v>2</v>
      </c>
      <c r="F1" s="7" t="s">
        <v>3</v>
      </c>
      <c r="G1" s="6" t="s">
        <v>4</v>
      </c>
      <c r="H1" s="6" t="s">
        <v>5</v>
      </c>
      <c r="I1" s="8" t="s">
        <v>6</v>
      </c>
    </row>
    <row r="2" spans="1:9" x14ac:dyDescent="0.25">
      <c r="A2" s="9">
        <v>1</v>
      </c>
      <c r="B2" s="9" t="s">
        <v>8</v>
      </c>
      <c r="C2" s="4" t="s">
        <v>9</v>
      </c>
      <c r="D2" s="4" t="s">
        <v>7</v>
      </c>
      <c r="E2" s="10">
        <v>45026</v>
      </c>
      <c r="F2" s="11">
        <f ca="1">TODAY()</f>
        <v>45047</v>
      </c>
      <c r="G2" s="4" t="s">
        <v>10</v>
      </c>
      <c r="H2" s="4" t="s">
        <v>10</v>
      </c>
      <c r="I2" s="4" t="s">
        <v>10</v>
      </c>
    </row>
    <row r="3" spans="1:9" x14ac:dyDescent="0.25">
      <c r="A3" s="1">
        <v>2</v>
      </c>
      <c r="B3" s="1" t="s">
        <v>11</v>
      </c>
      <c r="C3" s="1" t="s">
        <v>12</v>
      </c>
      <c r="D3" s="1" t="s">
        <v>7</v>
      </c>
      <c r="E3" s="3">
        <v>45026</v>
      </c>
      <c r="F3" s="2">
        <f ca="1">TODAY()</f>
        <v>45047</v>
      </c>
      <c r="G3" s="1" t="s">
        <v>13</v>
      </c>
      <c r="H3" s="1" t="s">
        <v>14</v>
      </c>
      <c r="I3" s="1" t="s">
        <v>15</v>
      </c>
    </row>
    <row r="4" spans="1:9" x14ac:dyDescent="0.25">
      <c r="A4" s="1">
        <v>3</v>
      </c>
      <c r="B4" s="1" t="s">
        <v>18</v>
      </c>
      <c r="C4" s="1" t="s">
        <v>12</v>
      </c>
      <c r="D4" s="1" t="s">
        <v>20</v>
      </c>
      <c r="E4" s="3">
        <v>45026</v>
      </c>
      <c r="F4" s="2">
        <f ca="1">TODAY()</f>
        <v>45047</v>
      </c>
      <c r="G4" s="1" t="s">
        <v>16</v>
      </c>
      <c r="H4" s="1" t="s">
        <v>17</v>
      </c>
    </row>
    <row r="5" spans="1:9" x14ac:dyDescent="0.25">
      <c r="A5" s="1">
        <v>4</v>
      </c>
      <c r="B5" s="1" t="s">
        <v>19</v>
      </c>
      <c r="C5" s="1" t="s">
        <v>19</v>
      </c>
      <c r="D5" s="1" t="s">
        <v>20</v>
      </c>
      <c r="E5" s="2">
        <v>45042</v>
      </c>
      <c r="F5" s="2">
        <f ca="1">TODAY()</f>
        <v>45047</v>
      </c>
      <c r="G5" s="1" t="s">
        <v>19</v>
      </c>
      <c r="H5" s="1" t="s">
        <v>19</v>
      </c>
      <c r="I5" s="1" t="s">
        <v>19</v>
      </c>
    </row>
    <row r="6" spans="1:9" x14ac:dyDescent="0.25">
      <c r="A6" s="1">
        <v>5</v>
      </c>
      <c r="B6" s="1" t="s">
        <v>66</v>
      </c>
      <c r="C6" s="1" t="s">
        <v>67</v>
      </c>
      <c r="D6" s="1" t="s">
        <v>20</v>
      </c>
      <c r="E6" s="2">
        <v>45047</v>
      </c>
      <c r="F6" s="2">
        <f ca="1">TODAY()</f>
        <v>45047</v>
      </c>
      <c r="G6" s="1" t="s">
        <v>68</v>
      </c>
      <c r="H6" s="1" t="s">
        <v>69</v>
      </c>
    </row>
    <row r="8" spans="1:9" ht="15.75" customHeight="1" x14ac:dyDescent="0.25"/>
  </sheetData>
  <dataValidations count="4">
    <dataValidation type="textLength" allowBlank="1" showInputMessage="1" showErrorMessage="1" sqref="G10:I1048576 G2:I8" xr:uid="{74BD0E23-4643-46A1-95FB-ED4DD4139F06}">
      <formula1>1</formula1>
      <formula2>100</formula2>
    </dataValidation>
    <dataValidation type="textLength" allowBlank="1" showInputMessage="1" showErrorMessage="1" sqref="C10:C1048576 C2:C8" xr:uid="{6133968A-39F5-4355-B8CA-769BC7EE0DAB}">
      <formula1>8</formula1>
      <formula2>30</formula2>
    </dataValidation>
    <dataValidation type="textLength" allowBlank="1" showInputMessage="1" showErrorMessage="1" sqref="B10:B1048576 B3:B8" xr:uid="{F9CE5919-3803-4C69-89A2-9CB252AD53A2}">
      <formula1>3</formula1>
      <formula2>20</formula2>
    </dataValidation>
    <dataValidation type="whole" allowBlank="1" showInputMessage="1" showErrorMessage="1" sqref="A3:A1048576" xr:uid="{3AB5D3DC-D049-4451-97E0-3E1C201C81B9}">
      <formula1>0</formula1>
      <formula2>1000</formula2>
    </dataValidation>
  </dataValidations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4F2EA-66E0-4C34-93F8-59926BCF910A}">
  <sheetPr codeName="Лист2"/>
  <dimension ref="A1:E12"/>
  <sheetViews>
    <sheetView workbookViewId="0">
      <pane ySplit="1" topLeftCell="A2" activePane="bottomLeft" state="frozen"/>
      <selection pane="bottomLeft" activeCell="C18" sqref="C18"/>
    </sheetView>
  </sheetViews>
  <sheetFormatPr defaultRowHeight="15" x14ac:dyDescent="0.25"/>
  <cols>
    <col min="1" max="1" width="10.140625" style="1" bestFit="1" customWidth="1"/>
    <col min="2" max="2" width="47.7109375" style="1" customWidth="1"/>
    <col min="3" max="3" width="17.42578125" style="1" customWidth="1"/>
    <col min="4" max="4" width="17.140625" style="1" customWidth="1"/>
    <col min="5" max="5" width="22.5703125" style="29" bestFit="1" customWidth="1"/>
  </cols>
  <sheetData>
    <row r="1" spans="1:5" ht="15.75" thickBot="1" x14ac:dyDescent="0.3">
      <c r="A1" s="31" t="s">
        <v>27</v>
      </c>
      <c r="B1" s="32" t="s">
        <v>26</v>
      </c>
      <c r="C1" s="33" t="s">
        <v>25</v>
      </c>
      <c r="D1" s="33" t="s">
        <v>28</v>
      </c>
      <c r="E1" s="34" t="s">
        <v>63</v>
      </c>
    </row>
    <row r="2" spans="1:5" x14ac:dyDescent="0.25">
      <c r="A2" s="35">
        <v>45017</v>
      </c>
      <c r="B2" s="36" t="s">
        <v>47</v>
      </c>
      <c r="C2" s="36" t="s">
        <v>48</v>
      </c>
      <c r="D2" s="36">
        <v>10</v>
      </c>
      <c r="E2" s="37">
        <v>60000</v>
      </c>
    </row>
    <row r="3" spans="1:5" x14ac:dyDescent="0.25">
      <c r="A3" s="38">
        <v>45018</v>
      </c>
      <c r="B3" s="39" t="s">
        <v>49</v>
      </c>
      <c r="C3" s="39" t="s">
        <v>50</v>
      </c>
      <c r="D3" s="39">
        <v>25</v>
      </c>
      <c r="E3" s="40">
        <v>50000</v>
      </c>
    </row>
    <row r="4" spans="1:5" x14ac:dyDescent="0.25">
      <c r="A4" s="38">
        <v>45019</v>
      </c>
      <c r="B4" s="39" t="s">
        <v>51</v>
      </c>
      <c r="C4" s="39" t="s">
        <v>50</v>
      </c>
      <c r="D4" s="39">
        <v>5</v>
      </c>
      <c r="E4" s="40">
        <v>30000</v>
      </c>
    </row>
    <row r="5" spans="1:5" x14ac:dyDescent="0.25">
      <c r="A5" s="38">
        <v>45020</v>
      </c>
      <c r="B5" s="39" t="s">
        <v>52</v>
      </c>
      <c r="C5" s="39" t="s">
        <v>53</v>
      </c>
      <c r="D5" s="39">
        <v>20</v>
      </c>
      <c r="E5" s="40">
        <v>25000</v>
      </c>
    </row>
    <row r="6" spans="1:5" x14ac:dyDescent="0.25">
      <c r="A6" s="38">
        <v>45021</v>
      </c>
      <c r="B6" s="39" t="s">
        <v>56</v>
      </c>
      <c r="C6" s="39" t="s">
        <v>57</v>
      </c>
      <c r="D6" s="39">
        <v>8</v>
      </c>
      <c r="E6" s="40">
        <v>10000</v>
      </c>
    </row>
    <row r="7" spans="1:5" x14ac:dyDescent="0.25">
      <c r="A7" s="38">
        <v>45022</v>
      </c>
      <c r="B7" s="39" t="s">
        <v>59</v>
      </c>
      <c r="C7" s="39" t="s">
        <v>58</v>
      </c>
      <c r="D7" s="39">
        <v>15</v>
      </c>
      <c r="E7" s="40">
        <v>15000</v>
      </c>
    </row>
    <row r="8" spans="1:5" x14ac:dyDescent="0.25">
      <c r="A8" s="38">
        <v>45023</v>
      </c>
      <c r="B8" s="39" t="s">
        <v>54</v>
      </c>
      <c r="C8" s="39" t="s">
        <v>55</v>
      </c>
      <c r="D8" s="39">
        <v>12</v>
      </c>
      <c r="E8" s="40">
        <v>80000</v>
      </c>
    </row>
    <row r="9" spans="1:5" x14ac:dyDescent="0.25">
      <c r="A9" s="38">
        <v>45045</v>
      </c>
      <c r="B9" s="39" t="s">
        <v>60</v>
      </c>
      <c r="C9" s="39" t="s">
        <v>58</v>
      </c>
      <c r="D9" s="39">
        <v>10</v>
      </c>
      <c r="E9" s="40">
        <v>9000</v>
      </c>
    </row>
    <row r="10" spans="1:5" x14ac:dyDescent="0.25">
      <c r="A10" s="41">
        <v>45045</v>
      </c>
      <c r="B10" s="42" t="s">
        <v>61</v>
      </c>
      <c r="C10" s="42" t="s">
        <v>62</v>
      </c>
      <c r="D10" s="42">
        <v>10</v>
      </c>
      <c r="E10" s="43">
        <v>15000</v>
      </c>
    </row>
    <row r="11" spans="1:5" x14ac:dyDescent="0.25">
      <c r="A11" s="41"/>
      <c r="B11" s="42"/>
      <c r="C11" s="42"/>
      <c r="D11" s="42"/>
      <c r="E11" s="43"/>
    </row>
    <row r="12" spans="1:5" x14ac:dyDescent="0.25">
      <c r="A12" s="41"/>
      <c r="B12" s="42"/>
      <c r="C12" s="42"/>
      <c r="D12" s="42"/>
      <c r="E12" s="43"/>
    </row>
  </sheetData>
  <phoneticPr fontId="4" type="noConversion"/>
  <pageMargins left="0.7" right="0.7" top="0.75" bottom="0.75" header="0.3" footer="0.3"/>
  <pageSetup paperSize="0" orientation="portrait" horizontalDpi="0" verticalDpi="0" copies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B82B5-6D14-445C-8792-2567398275ED}">
  <sheetPr codeName="Лист3"/>
  <dimension ref="A1:I11"/>
  <sheetViews>
    <sheetView workbookViewId="0">
      <pane ySplit="1" topLeftCell="A2" activePane="bottomLeft" state="frozen"/>
      <selection pane="bottomLeft" activeCell="F14" sqref="F14"/>
    </sheetView>
  </sheetViews>
  <sheetFormatPr defaultRowHeight="15" x14ac:dyDescent="0.25"/>
  <cols>
    <col min="1" max="1" width="9.140625" style="1"/>
    <col min="2" max="2" width="58.42578125" style="1" customWidth="1"/>
    <col min="3" max="3" width="20.5703125" style="1" customWidth="1"/>
    <col min="4" max="4" width="19.85546875" style="1" customWidth="1"/>
    <col min="5" max="5" width="16.28515625" style="12" customWidth="1"/>
    <col min="6" max="6" width="21.5703125" style="14" customWidth="1"/>
    <col min="7" max="7" width="23" style="14" customWidth="1"/>
    <col min="8" max="8" width="19.42578125" style="14" customWidth="1"/>
    <col min="9" max="9" width="19.85546875" style="14" customWidth="1"/>
  </cols>
  <sheetData>
    <row r="1" spans="1:9" ht="30.75" thickBot="1" x14ac:dyDescent="0.3">
      <c r="A1" s="26" t="s">
        <v>46</v>
      </c>
      <c r="B1" s="30" t="s">
        <v>26</v>
      </c>
      <c r="C1" s="30" t="s">
        <v>25</v>
      </c>
      <c r="D1" s="15" t="s">
        <v>32</v>
      </c>
      <c r="E1" s="16" t="s">
        <v>33</v>
      </c>
      <c r="F1" s="13"/>
      <c r="G1" s="13"/>
      <c r="H1" s="13"/>
      <c r="I1" s="13"/>
    </row>
    <row r="2" spans="1:9" ht="15.75" thickTop="1" x14ac:dyDescent="0.25">
      <c r="A2" s="25">
        <v>1</v>
      </c>
      <c r="B2" s="4" t="s">
        <v>47</v>
      </c>
      <c r="C2" s="4" t="s">
        <v>48</v>
      </c>
      <c r="D2" s="25">
        <v>8</v>
      </c>
      <c r="E2" s="25">
        <v>2</v>
      </c>
    </row>
    <row r="3" spans="1:9" x14ac:dyDescent="0.25">
      <c r="A3" s="1">
        <v>2</v>
      </c>
      <c r="B3" s="1" t="s">
        <v>49</v>
      </c>
      <c r="C3" s="1" t="s">
        <v>50</v>
      </c>
      <c r="D3" s="1">
        <v>20</v>
      </c>
      <c r="E3" s="1">
        <v>5</v>
      </c>
    </row>
    <row r="4" spans="1:9" x14ac:dyDescent="0.25">
      <c r="A4" s="1">
        <v>3</v>
      </c>
      <c r="B4" s="1" t="s">
        <v>51</v>
      </c>
      <c r="C4" s="1" t="s">
        <v>50</v>
      </c>
      <c r="D4" s="1">
        <v>2</v>
      </c>
      <c r="E4" s="1">
        <v>3</v>
      </c>
    </row>
    <row r="5" spans="1:9" x14ac:dyDescent="0.25">
      <c r="A5" s="1">
        <v>4</v>
      </c>
      <c r="B5" s="1" t="s">
        <v>52</v>
      </c>
      <c r="C5" s="1" t="s">
        <v>53</v>
      </c>
      <c r="D5" s="1">
        <v>18</v>
      </c>
      <c r="E5" s="1">
        <v>2</v>
      </c>
    </row>
    <row r="6" spans="1:9" x14ac:dyDescent="0.25">
      <c r="A6" s="1">
        <v>5</v>
      </c>
      <c r="B6" s="1" t="s">
        <v>56</v>
      </c>
      <c r="C6" s="1" t="s">
        <v>57</v>
      </c>
      <c r="D6" s="1">
        <v>6</v>
      </c>
      <c r="E6" s="1">
        <v>2</v>
      </c>
    </row>
    <row r="7" spans="1:9" x14ac:dyDescent="0.25">
      <c r="A7" s="1">
        <v>6</v>
      </c>
      <c r="B7" s="1" t="s">
        <v>59</v>
      </c>
      <c r="C7" s="1" t="s">
        <v>58</v>
      </c>
      <c r="D7" s="1">
        <v>14</v>
      </c>
      <c r="E7" s="1">
        <v>1</v>
      </c>
    </row>
    <row r="8" spans="1:9" x14ac:dyDescent="0.25">
      <c r="A8" s="1">
        <v>7</v>
      </c>
      <c r="B8" s="1" t="s">
        <v>54</v>
      </c>
      <c r="C8" s="1" t="s">
        <v>55</v>
      </c>
      <c r="D8" s="1">
        <v>10</v>
      </c>
      <c r="E8" s="1">
        <v>2</v>
      </c>
    </row>
    <row r="9" spans="1:9" x14ac:dyDescent="0.25">
      <c r="A9" s="1">
        <v>8</v>
      </c>
      <c r="B9" s="1" t="s">
        <v>60</v>
      </c>
      <c r="C9" s="1" t="s">
        <v>58</v>
      </c>
      <c r="D9" s="1">
        <v>34</v>
      </c>
      <c r="E9" s="12">
        <v>10</v>
      </c>
    </row>
    <row r="10" spans="1:9" x14ac:dyDescent="0.25">
      <c r="A10" s="1">
        <v>9</v>
      </c>
      <c r="B10" s="1" t="s">
        <v>61</v>
      </c>
      <c r="C10" s="1" t="s">
        <v>62</v>
      </c>
      <c r="D10" s="1">
        <v>40</v>
      </c>
      <c r="E10" s="12">
        <v>18</v>
      </c>
    </row>
    <row r="11" spans="1:9" x14ac:dyDescent="0.25">
      <c r="A11" s="1">
        <v>10</v>
      </c>
      <c r="B11" s="1" t="s">
        <v>59</v>
      </c>
      <c r="C11" s="1" t="s">
        <v>58</v>
      </c>
      <c r="D11" s="1">
        <v>80</v>
      </c>
      <c r="E11" s="12">
        <v>40</v>
      </c>
    </row>
  </sheetData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10BB3-7963-497E-A750-9B4F1C08DFB1}">
  <sheetPr codeName="Лист4"/>
  <dimension ref="A1:E21"/>
  <sheetViews>
    <sheetView workbookViewId="0">
      <pane ySplit="1" topLeftCell="A2" activePane="bottomLeft" state="frozen"/>
      <selection pane="bottomLeft" sqref="A1:E21"/>
    </sheetView>
  </sheetViews>
  <sheetFormatPr defaultRowHeight="15" x14ac:dyDescent="0.25"/>
  <cols>
    <col min="1" max="1" width="7.42578125" style="1" bestFit="1" customWidth="1"/>
    <col min="2" max="2" width="52.85546875" style="1" customWidth="1"/>
    <col min="3" max="3" width="15.28515625" style="1" bestFit="1" customWidth="1"/>
    <col min="4" max="4" width="14.85546875" style="1" bestFit="1" customWidth="1"/>
    <col min="5" max="5" width="17.7109375" style="28" bestFit="1" customWidth="1"/>
  </cols>
  <sheetData>
    <row r="1" spans="1:5" ht="15.75" thickBot="1" x14ac:dyDescent="0.3">
      <c r="A1" s="18" t="s">
        <v>36</v>
      </c>
      <c r="B1" s="17" t="s">
        <v>26</v>
      </c>
      <c r="C1" s="17" t="s">
        <v>25</v>
      </c>
      <c r="D1" s="17" t="s">
        <v>28</v>
      </c>
      <c r="E1" s="19" t="s">
        <v>37</v>
      </c>
    </row>
    <row r="2" spans="1:5" x14ac:dyDescent="0.25">
      <c r="A2" s="4" t="s">
        <v>38</v>
      </c>
      <c r="B2" s="4" t="s">
        <v>47</v>
      </c>
      <c r="C2" s="4" t="s">
        <v>48</v>
      </c>
      <c r="D2" s="4">
        <v>150</v>
      </c>
      <c r="E2" s="27">
        <f>Sales!E2*Sales_by_Region!D2</f>
        <v>9000000</v>
      </c>
    </row>
    <row r="3" spans="1:5" x14ac:dyDescent="0.25">
      <c r="A3" s="4" t="s">
        <v>38</v>
      </c>
      <c r="B3" s="1" t="s">
        <v>49</v>
      </c>
      <c r="C3" s="1" t="s">
        <v>50</v>
      </c>
      <c r="D3" s="1">
        <v>250</v>
      </c>
      <c r="E3" s="27">
        <f>Sales!E3*Sales_by_Region!D3</f>
        <v>12500000</v>
      </c>
    </row>
    <row r="4" spans="1:5" x14ac:dyDescent="0.25">
      <c r="A4" s="4" t="s">
        <v>38</v>
      </c>
      <c r="B4" s="1" t="s">
        <v>51</v>
      </c>
      <c r="C4" s="1" t="s">
        <v>50</v>
      </c>
      <c r="D4" s="1">
        <v>50</v>
      </c>
      <c r="E4" s="27">
        <f>Sales!E4*Sales_by_Region!D4</f>
        <v>1500000</v>
      </c>
    </row>
    <row r="5" spans="1:5" x14ac:dyDescent="0.25">
      <c r="A5" s="4" t="s">
        <v>38</v>
      </c>
      <c r="B5" s="1" t="s">
        <v>52</v>
      </c>
      <c r="C5" s="1" t="s">
        <v>53</v>
      </c>
      <c r="D5" s="1">
        <v>180</v>
      </c>
      <c r="E5" s="27">
        <f>Sales!E5*Sales_by_Region!D5</f>
        <v>4500000</v>
      </c>
    </row>
    <row r="6" spans="1:5" x14ac:dyDescent="0.25">
      <c r="A6" s="4" t="s">
        <v>38</v>
      </c>
      <c r="B6" s="1" t="s">
        <v>56</v>
      </c>
      <c r="C6" s="1" t="s">
        <v>57</v>
      </c>
      <c r="D6" s="1">
        <v>60</v>
      </c>
      <c r="E6" s="27">
        <f>Sales!E6*Sales_by_Region!D6</f>
        <v>600000</v>
      </c>
    </row>
    <row r="7" spans="1:5" x14ac:dyDescent="0.25">
      <c r="A7" s="4" t="s">
        <v>38</v>
      </c>
      <c r="B7" s="1" t="s">
        <v>59</v>
      </c>
      <c r="C7" s="1" t="s">
        <v>58</v>
      </c>
      <c r="D7" s="1">
        <v>100</v>
      </c>
      <c r="E7" s="27">
        <f>Sales!E7*Sales_by_Region!D7</f>
        <v>1500000</v>
      </c>
    </row>
    <row r="8" spans="1:5" x14ac:dyDescent="0.25">
      <c r="A8" s="4" t="s">
        <v>38</v>
      </c>
      <c r="B8" s="1" t="s">
        <v>54</v>
      </c>
      <c r="C8" s="1" t="s">
        <v>55</v>
      </c>
      <c r="D8" s="1">
        <v>200</v>
      </c>
      <c r="E8" s="27">
        <f>Sales!E8*Sales_by_Region!D8</f>
        <v>16000000</v>
      </c>
    </row>
    <row r="9" spans="1:5" x14ac:dyDescent="0.25">
      <c r="A9" s="4" t="s">
        <v>38</v>
      </c>
      <c r="B9" s="1" t="s">
        <v>60</v>
      </c>
      <c r="C9" s="1" t="s">
        <v>58</v>
      </c>
      <c r="D9" s="1">
        <v>200</v>
      </c>
      <c r="E9" s="27">
        <f>Sales!E9*Sales_by_Region!D9</f>
        <v>1800000</v>
      </c>
    </row>
    <row r="10" spans="1:5" x14ac:dyDescent="0.25">
      <c r="A10" s="1" t="s">
        <v>39</v>
      </c>
      <c r="B10" s="4" t="s">
        <v>47</v>
      </c>
      <c r="C10" s="4" t="s">
        <v>48</v>
      </c>
      <c r="D10" s="4">
        <v>150</v>
      </c>
      <c r="E10" s="27">
        <f>Sales!E2*Sales_by_Region!D2</f>
        <v>9000000</v>
      </c>
    </row>
    <row r="11" spans="1:5" x14ac:dyDescent="0.25">
      <c r="A11" s="1" t="s">
        <v>39</v>
      </c>
      <c r="B11" s="1" t="s">
        <v>49</v>
      </c>
      <c r="C11" s="1" t="s">
        <v>50</v>
      </c>
      <c r="D11" s="1">
        <v>250</v>
      </c>
      <c r="E11" s="27">
        <f>Sales!E3*Sales_by_Region!D3</f>
        <v>12500000</v>
      </c>
    </row>
    <row r="12" spans="1:5" x14ac:dyDescent="0.25">
      <c r="A12" s="1" t="s">
        <v>39</v>
      </c>
      <c r="B12" s="1" t="s">
        <v>51</v>
      </c>
      <c r="C12" s="1" t="s">
        <v>50</v>
      </c>
      <c r="D12" s="1">
        <v>50</v>
      </c>
      <c r="E12" s="27">
        <f>Sales!E4*Sales_by_Region!D4</f>
        <v>1500000</v>
      </c>
    </row>
    <row r="13" spans="1:5" x14ac:dyDescent="0.25">
      <c r="A13" s="1" t="s">
        <v>39</v>
      </c>
      <c r="B13" s="1" t="s">
        <v>52</v>
      </c>
      <c r="C13" s="1" t="s">
        <v>53</v>
      </c>
      <c r="D13" s="1">
        <v>180</v>
      </c>
      <c r="E13" s="27">
        <f>Sales!E5*Sales_by_Region!D5</f>
        <v>4500000</v>
      </c>
    </row>
    <row r="14" spans="1:5" x14ac:dyDescent="0.25">
      <c r="A14" s="1" t="s">
        <v>39</v>
      </c>
      <c r="B14" s="1" t="s">
        <v>56</v>
      </c>
      <c r="C14" s="1" t="s">
        <v>57</v>
      </c>
      <c r="D14" s="1">
        <v>60</v>
      </c>
      <c r="E14" s="27">
        <f>Sales!E6*Sales_by_Region!D6</f>
        <v>600000</v>
      </c>
    </row>
    <row r="15" spans="1:5" x14ac:dyDescent="0.25">
      <c r="A15" s="1" t="s">
        <v>39</v>
      </c>
      <c r="B15" s="1" t="s">
        <v>59</v>
      </c>
      <c r="C15" s="1" t="s">
        <v>58</v>
      </c>
      <c r="D15" s="1">
        <v>100</v>
      </c>
      <c r="E15" s="27">
        <f>Sales!E7*Sales_by_Region!D7</f>
        <v>1500000</v>
      </c>
    </row>
    <row r="16" spans="1:5" x14ac:dyDescent="0.25">
      <c r="A16" s="1" t="s">
        <v>39</v>
      </c>
      <c r="B16" s="1" t="s">
        <v>54</v>
      </c>
      <c r="C16" s="1" t="s">
        <v>55</v>
      </c>
      <c r="D16" s="1">
        <v>200</v>
      </c>
      <c r="E16" s="27">
        <f>Sales!E8*Sales_by_Region!D8</f>
        <v>16000000</v>
      </c>
    </row>
    <row r="17" spans="1:5" x14ac:dyDescent="0.25">
      <c r="A17" s="1" t="s">
        <v>39</v>
      </c>
      <c r="B17" s="1" t="s">
        <v>60</v>
      </c>
      <c r="C17" s="1" t="s">
        <v>58</v>
      </c>
      <c r="D17" s="1">
        <v>200</v>
      </c>
      <c r="E17" s="27">
        <f>Sales!E9*Sales_by_Region!D9</f>
        <v>1800000</v>
      </c>
    </row>
    <row r="18" spans="1:5" x14ac:dyDescent="0.25">
      <c r="A18" s="1" t="s">
        <v>64</v>
      </c>
      <c r="B18" s="1" t="s">
        <v>52</v>
      </c>
      <c r="C18" s="1" t="s">
        <v>53</v>
      </c>
      <c r="D18" s="1">
        <v>178</v>
      </c>
      <c r="E18" s="28">
        <v>2225000</v>
      </c>
    </row>
    <row r="19" spans="1:5" x14ac:dyDescent="0.25">
      <c r="A19" s="1" t="s">
        <v>64</v>
      </c>
      <c r="B19" s="1" t="s">
        <v>61</v>
      </c>
      <c r="C19" s="1" t="s">
        <v>62</v>
      </c>
      <c r="D19" s="1">
        <v>100</v>
      </c>
      <c r="E19" s="28">
        <v>1500000</v>
      </c>
    </row>
    <row r="20" spans="1:5" x14ac:dyDescent="0.25">
      <c r="A20" s="1" t="s">
        <v>64</v>
      </c>
      <c r="B20" s="1" t="s">
        <v>52</v>
      </c>
      <c r="C20" s="1" t="s">
        <v>53</v>
      </c>
      <c r="D20" s="1">
        <v>200</v>
      </c>
      <c r="E20" s="28">
        <v>200000</v>
      </c>
    </row>
    <row r="21" spans="1:5" x14ac:dyDescent="0.25">
      <c r="A21" s="1" t="s">
        <v>65</v>
      </c>
      <c r="B21" s="1" t="s">
        <v>52</v>
      </c>
      <c r="C21" s="1" t="s">
        <v>53</v>
      </c>
      <c r="D21" s="1">
        <v>100</v>
      </c>
      <c r="E21" s="28">
        <v>100000</v>
      </c>
    </row>
  </sheetData>
  <pageMargins left="0.7" right="0.7" top="0.75" bottom="0.75" header="0.3" footer="0.3"/>
  <pageSetup paperSize="0" orientation="portrait" horizontalDpi="0" verticalDpi="0" copie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5FB58-9F62-4CBC-95D0-1EA1F83C973D}">
  <sheetPr codeName="Лист5"/>
  <dimension ref="A1:C7"/>
  <sheetViews>
    <sheetView workbookViewId="0">
      <pane ySplit="1" topLeftCell="A2" activePane="bottomLeft" state="frozen"/>
      <selection pane="bottomLeft" activeCell="F22" sqref="F22"/>
    </sheetView>
  </sheetViews>
  <sheetFormatPr defaultRowHeight="15" x14ac:dyDescent="0.25"/>
  <cols>
    <col min="1" max="1" width="17.7109375" style="1" bestFit="1" customWidth="1"/>
    <col min="2" max="2" width="15.42578125" style="1" bestFit="1" customWidth="1"/>
    <col min="3" max="3" width="34.85546875" style="1" bestFit="1" customWidth="1"/>
  </cols>
  <sheetData>
    <row r="1" spans="1:3" ht="15.75" thickBot="1" x14ac:dyDescent="0.3">
      <c r="A1" s="18" t="s">
        <v>26</v>
      </c>
      <c r="B1" s="17" t="s">
        <v>40</v>
      </c>
      <c r="C1" s="19" t="s">
        <v>41</v>
      </c>
    </row>
    <row r="2" spans="1:3" x14ac:dyDescent="0.25">
      <c r="A2" s="20" t="s">
        <v>22</v>
      </c>
      <c r="B2" s="23">
        <v>0.2</v>
      </c>
      <c r="C2" s="20" t="s">
        <v>34</v>
      </c>
    </row>
    <row r="3" spans="1:3" x14ac:dyDescent="0.25">
      <c r="A3" s="21" t="s">
        <v>23</v>
      </c>
      <c r="B3" s="24">
        <v>0.3</v>
      </c>
      <c r="C3" s="21" t="s">
        <v>35</v>
      </c>
    </row>
    <row r="4" spans="1:3" ht="30" x14ac:dyDescent="0.25">
      <c r="A4" s="21" t="s">
        <v>24</v>
      </c>
      <c r="B4" s="24">
        <v>0.15</v>
      </c>
      <c r="C4" s="22" t="s">
        <v>42</v>
      </c>
    </row>
    <row r="5" spans="1:3" x14ac:dyDescent="0.25">
      <c r="A5" s="21" t="s">
        <v>29</v>
      </c>
      <c r="B5" s="24">
        <v>0.1</v>
      </c>
      <c r="C5" s="21" t="s">
        <v>43</v>
      </c>
    </row>
    <row r="6" spans="1:3" x14ac:dyDescent="0.25">
      <c r="A6" s="21" t="s">
        <v>30</v>
      </c>
      <c r="B6" s="24">
        <v>0.15</v>
      </c>
      <c r="C6" s="21" t="s">
        <v>44</v>
      </c>
    </row>
    <row r="7" spans="1:3" x14ac:dyDescent="0.25">
      <c r="A7" s="21" t="s">
        <v>31</v>
      </c>
      <c r="B7" s="24">
        <v>0.2</v>
      </c>
      <c r="C7" s="21" t="s">
        <v>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Users</vt:lpstr>
      <vt:lpstr>Sales</vt:lpstr>
      <vt:lpstr>Feedback</vt:lpstr>
      <vt:lpstr>Sales_by_Region</vt:lpstr>
      <vt:lpstr>Market Share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Komkovitch Yura</dc:creator>
  <cp:lastModifiedBy>Komkovitch Yura</cp:lastModifiedBy>
  <dcterms:created xsi:type="dcterms:W3CDTF">2023-04-08T12:37:06Z</dcterms:created>
  <dcterms:modified xsi:type="dcterms:W3CDTF">2023-05-01T06:58:33Z</dcterms:modified>
</cp:coreProperties>
</file>